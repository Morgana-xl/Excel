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orga\Downloads\"/>
    </mc:Choice>
  </mc:AlternateContent>
  <xr:revisionPtr revIDLastSave="0" documentId="13_ncr:1_{E5499678-014E-46A5-B4E2-61C05A77ECFC}" xr6:coauthVersionLast="47" xr6:coauthVersionMax="47" xr10:uidLastSave="{00000000-0000-0000-0000-000000000000}"/>
  <bookViews>
    <workbookView xWindow="0" yWindow="360" windowWidth="23256" windowHeight="12456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8"/>
  <pivotCaches>
    <pivotCache cacheId="1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3" i="3" l="1"/>
  <c r="F23" i="3"/>
</calcChain>
</file>

<file path=xl/sharedStrings.xml><?xml version="1.0" encoding="utf-8"?>
<sst xmlns="http://schemas.openxmlformats.org/spreadsheetml/2006/main" count="2021" uniqueCount="324">
  <si>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</si>
  <si>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</si>
  <si>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</si>
  <si>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</si>
  <si>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</si>
  <si>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</si>
  <si>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</si>
  <si>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</si>
  <si>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</si>
  <si>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</si>
  <si>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</si>
  <si>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</si>
  <si>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</si>
  <si>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</si>
  <si>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</si>
  <si>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</si>
  <si>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</si>
  <si>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</si>
  <si>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</si>
  <si>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</si>
  <si>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</si>
  <si>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</si>
  <si>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</si>
  <si>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</si>
  <si>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</si>
  <si>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</si>
  <si>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</si>
  <si>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</si>
  <si>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</si>
  <si>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</si>
  <si>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</si>
  <si>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</si>
  <si>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</si>
  <si>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</si>
  <si>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</si>
  <si>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</si>
  <si>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</si>
  <si>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</si>
  <si>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</si>
  <si>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</si>
  <si>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</si>
  <si>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</si>
  <si>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</si>
  <si>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</si>
  <si>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</si>
  <si>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</si>
  <si>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</si>
  <si>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</si>
  <si>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</si>
  <si>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</si>
  <si>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</si>
  <si>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</si>
  <si>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</si>
  <si>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</si>
  <si>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</si>
  <si>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</si>
  <si>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</si>
  <si>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</si>
  <si>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</si>
  <si>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</si>
  <si>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</si>
  <si>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</si>
  <si>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</si>
  <si>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</si>
  <si>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</si>
  <si>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</si>
  <si>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</si>
  <si>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</si>
  <si>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</si>
  <si>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</si>
  <si>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</si>
  <si>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</si>
  <si>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</si>
  <si>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</si>
  <si>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</si>
  <si>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</si>
  <si>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</si>
  <si>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</si>
  <si>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</si>
  <si>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</si>
  <si>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</si>
  <si>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</si>
  <si>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</si>
  <si>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</si>
  <si>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</si>
  <si>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</si>
  <si>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</si>
  <si>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</si>
  <si>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</si>
  <si>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</si>
  <si>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</si>
  <si>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</si>
  <si>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</si>
  <si>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</si>
  <si>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</si>
  <si>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</si>
  <si>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</si>
  <si>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</si>
  <si>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</si>
  <si>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</si>
  <si>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</si>
  <si>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</si>
  <si>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</si>
  <si>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</si>
  <si>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</si>
  <si>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</si>
  <si>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</si>
  <si>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</si>
  <si>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</si>
  <si>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</si>
  <si>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</si>
  <si>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</si>
  <si>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</si>
  <si>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</si>
  <si>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</si>
  <si>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</si>
  <si>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</si>
  <si>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</si>
  <si>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</si>
  <si>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</si>
  <si>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</si>
  <si>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</si>
  <si>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</si>
  <si>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</si>
  <si>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</si>
  <si>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</si>
  <si>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</si>
  <si>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</si>
  <si>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</si>
  <si>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</si>
  <si>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</si>
  <si>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</si>
  <si>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</si>
  <si>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</si>
  <si>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</si>
  <si>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</si>
  <si>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</si>
  <si>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</si>
  <si>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</si>
  <si>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</si>
  <si>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</si>
  <si>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</si>
  <si>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</si>
  <si>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</si>
  <si>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</si>
  <si>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</si>
  <si>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</si>
  <si>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</si>
  <si>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</si>
  <si>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</si>
  <si>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</si>
  <si>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</si>
  <si>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</si>
  <si>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</si>
  <si>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</si>
  <si>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</si>
  <si>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</si>
  <si>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</si>
  <si>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</si>
  <si>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</si>
  <si>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</si>
  <si>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</si>
  <si>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</si>
  <si>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</si>
  <si>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</si>
  <si>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</si>
  <si>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</si>
  <si>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</si>
  <si>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</si>
  <si>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</si>
  <si>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</si>
  <si>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</si>
  <si>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</si>
  <si>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</si>
  <si>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</si>
  <si>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</si>
  <si>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</si>
  <si>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</si>
  <si>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</si>
  <si>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</si>
  <si>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</si>
  <si>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</si>
  <si>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</si>
  <si>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</si>
  <si>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</si>
  <si>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</si>
  <si>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</si>
  <si>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</si>
  <si>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</si>
  <si>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</si>
  <si>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</si>
  <si>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</si>
  <si>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</si>
  <si>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</si>
  <si>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</si>
  <si>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</si>
  <si>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</si>
  <si>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</si>
  <si>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</si>
  <si>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</si>
  <si>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</si>
  <si>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</si>
  <si>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</si>
  <si>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</si>
  <si>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</si>
  <si>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</si>
  <si>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</si>
  <si>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</si>
  <si>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</si>
  <si>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</si>
  <si>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</si>
  <si>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</si>
  <si>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</si>
  <si>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</si>
  <si>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</si>
  <si>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</si>
  <si>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</si>
  <si>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</si>
  <si>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</si>
  <si>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</si>
  <si>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</si>
  <si>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</si>
  <si>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</si>
  <si>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</si>
  <si>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</si>
  <si>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</si>
  <si>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</si>
  <si>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</si>
  <si>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</si>
  <si>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</si>
  <si>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</si>
  <si>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</si>
  <si>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</si>
  <si>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</si>
  <si>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</si>
  <si>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</si>
  <si>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</si>
  <si>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</si>
  <si>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</si>
  <si>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</si>
  <si>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</si>
  <si>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</si>
  <si>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</si>
  <si>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</si>
  <si>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</si>
  <si>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</si>
  <si>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</si>
  <si>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</si>
  <si>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</si>
  <si>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</si>
  <si>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</si>
  <si>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</si>
  <si>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</si>
  <si>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</si>
  <si>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</si>
  <si>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</si>
  <si>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</si>
  <si>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</si>
  <si>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</si>
  <si>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</si>
  <si>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</si>
  <si>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</si>
  <si>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</si>
  <si>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</si>
  <si>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</si>
  <si>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</si>
  <si>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</si>
  <si>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</si>
  <si>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</si>
  <si>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</si>
  <si>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</si>
  <si>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</si>
  <si>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</si>
  <si>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</si>
  <si>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</si>
  <si>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</si>
  <si>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</si>
  <si>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</si>
  <si>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</si>
  <si>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</si>
  <si>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</si>
  <si>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</si>
  <si>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</si>
  <si>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</si>
  <si>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</si>
  <si>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</si>
  <si>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</si>
  <si>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</si>
  <si>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</si>
  <si>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</si>
  <si>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</si>
  <si>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</si>
  <si>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</si>
  <si>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</si>
  <si>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</si>
  <si>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</si>
  <si>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</si>
  <si>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</si>
  <si>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</si>
  <si>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</si>
  <si>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</si>
  <si>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</si>
  <si>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</si>
  <si>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</si>
  <si>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</si>
  <si>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</si>
  <si>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</si>
  <si>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</si>
  <si>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</si>
  <si>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</si>
  <si>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</si>
  <si>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</si>
  <si>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</si>
  <si>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</si>
  <si>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</si>
  <si>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Total Value</t>
  </si>
  <si>
    <r>
      <t xml:space="preserve">Pergunta de Negócio 2 - Qual Faturamento </t>
    </r>
    <r>
      <rPr>
        <b/>
        <sz val="11"/>
        <color theme="1"/>
        <rFont val="Aptos Narrow"/>
        <family val="2"/>
        <scheme val="minor"/>
      </rPr>
      <t xml:space="preserve">Total de vendas </t>
    </r>
    <r>
      <rPr>
        <sz val="11"/>
        <color theme="1"/>
        <rFont val="Aptos Narrow"/>
        <family val="2"/>
        <scheme val="minor"/>
      </rPr>
      <t xml:space="preserve">de </t>
    </r>
    <r>
      <rPr>
        <b/>
        <sz val="11"/>
        <color theme="1"/>
        <rFont val="Aptos Narrow"/>
        <family val="2"/>
        <scheme val="minor"/>
      </rPr>
      <t>planos atuais</t>
    </r>
    <r>
      <rPr>
        <sz val="11"/>
        <color theme="1"/>
        <rFont val="Aptos Narrow"/>
        <family val="2"/>
        <scheme val="minor"/>
      </rPr>
      <t>, separado por auto renovação</t>
    </r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</si>
  <si>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atuais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</si>
  <si>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 xml:space="preserve">Pergunta de Negócio 3 - Total de Vendas de Assinaturas do EA Play </t>
  </si>
  <si>
    <t>Soma de EA Play Season Pass</t>
  </si>
  <si>
    <t>Pergunta de Negócio 4 - Total de Vendas de Assinaturas do Minecraft Season Pass</t>
  </si>
  <si>
    <t>(Tudo)</t>
  </si>
  <si>
    <t>Soma de Minecraft Season Pass Price</t>
  </si>
  <si>
    <t xml:space="preserve">                   XBOX GAME PASS SUBSCRIPTION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</si>
</sst>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164" fontId="0" fillId="0" borderId="0" xfId="0" applyNumberFormat="1"/>
    <xf numFmtId="0" fontId="1" fillId="0" borderId="2" xfId="1" applyBorder="1"/>
    <xf numFmtId="0" fontId="0" fillId="0" borderId="2" xfId="0" applyBorder="1"/>
    <xf numFmtId="0" fontId="5" fillId="4" borderId="0" xfId="0" applyFont="1" applyFill="1"/>
    <xf numFmtId="0" fontId="4" fillId="0" borderId="0" xfId="1" applyFont="1" applyBorder="1"/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BDF22BCB-B831-4F4A-8221-DD65C4330D9C}">
      <tableStyleElement type="wholeTable" dxfId="15"/>
      <tableStyleElement type="headerRow" dxfId="14"/>
    </tableStyle>
  </tableStyles>
  <colors>
    <mruColors>
      <color rgb="FF22C55E"/>
      <color rgb="FFFFFFFF"/>
      <color rgb="FF5BF6A8"/>
      <color rgb="FF2AE6B1"/>
      <color rgb="FFE8E6E9"/>
      <color rgb="FF000000"/>
      <color rgb="FFE0E0E0"/>
      <color rgb="FFEDEDED"/>
      <color rgb="FFF7F8FC"/>
      <color rgb="FF9BC84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Excel Dioo.xlsx]C̳álculos!tbl_easeasonpass_total</c:name>
    <c:fmtId val="1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</c:pivotFmt>
      <c:pivotFmt>
        <c:idx val="4"/>
        <c:spPr>
          <a:solidFill>
            <a:srgbClr val="22C55E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C̳álculos!$D$10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ABF-4E26-9E7D-A44F903289A8}"/>
              </c:ext>
            </c:extLst>
          </c:dPt>
          <c:dPt>
            <c:idx val="1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EABF-4E26-9E7D-A44F903289A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C̳álculos!$C$11:$C$13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C̳álculos!$D$11:$D$13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86-49FD-9D8A-6A7ADFCB22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69497423"/>
        <c:axId val="1569499823"/>
      </c:barChart>
      <c:catAx>
        <c:axId val="15694974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69499823"/>
        <c:crosses val="autoZero"/>
        <c:auto val="1"/>
        <c:lblAlgn val="ctr"/>
        <c:lblOffset val="100"/>
        <c:noMultiLvlLbl val="0"/>
      </c:catAx>
      <c:valAx>
        <c:axId val="1569499823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569497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5.png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7</xdr:row>
      <xdr:rowOff>0</xdr:rowOff>
    </xdr:from>
    <xdr:to>
      <xdr:col>5</xdr:col>
      <xdr:colOff>304800</xdr:colOff>
      <xdr:row>8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304800</xdr:colOff>
      <xdr:row>8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1828800</xdr:colOff>
      <xdr:row>2</xdr:row>
      <xdr:rowOff>85725</xdr:rowOff>
    </xdr:from>
    <xdr:to>
      <xdr:col>2</xdr:col>
      <xdr:colOff>138363</xdr:colOff>
      <xdr:row>3</xdr:row>
      <xdr:rowOff>390525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A61C730-39DB-43FD-95E4-7886F58709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28" t="15625" r="71721" b="15866"/>
        <a:stretch>
          <a:fillRect/>
        </a:stretch>
      </xdr:blipFill>
      <xdr:spPr>
        <a:xfrm>
          <a:off x="1828800" y="447675"/>
          <a:ext cx="786063" cy="800100"/>
        </a:xfrm>
        <a:prstGeom prst="rect">
          <a:avLst/>
        </a:prstGeom>
      </xdr:spPr>
    </xdr:pic>
    <xdr:clientData/>
  </xdr:twoCellAnchor>
  <xdr:twoCellAnchor>
    <xdr:from>
      <xdr:col>1</xdr:col>
      <xdr:colOff>85725</xdr:colOff>
      <xdr:row>20</xdr:row>
      <xdr:rowOff>95251</xdr:rowOff>
    </xdr:from>
    <xdr:to>
      <xdr:col>20</xdr:col>
      <xdr:colOff>161925</xdr:colOff>
      <xdr:row>40</xdr:row>
      <xdr:rowOff>47625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18C896D1-4CCB-7740-CDA8-3082F675EA58}"/>
            </a:ext>
          </a:extLst>
        </xdr:cNvPr>
        <xdr:cNvGrpSpPr/>
      </xdr:nvGrpSpPr>
      <xdr:grpSpPr>
        <a:xfrm>
          <a:off x="1971675" y="4457701"/>
          <a:ext cx="11477625" cy="3571874"/>
          <a:chOff x="1981200" y="1524001"/>
          <a:chExt cx="5295900" cy="2847972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1CCD084E-A448-C64B-B292-EB2DEF605AC8}"/>
              </a:ext>
            </a:extLst>
          </xdr:cNvPr>
          <xdr:cNvSpPr/>
        </xdr:nvSpPr>
        <xdr:spPr>
          <a:xfrm>
            <a:off x="1981200" y="1524001"/>
            <a:ext cx="5038725" cy="278130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B52B454D-F007-4623-BDA1-598A806343E8}"/>
              </a:ext>
            </a:extLst>
          </xdr:cNvPr>
          <xdr:cNvGraphicFramePr>
            <a:graphicFrameLocks/>
          </xdr:cNvGraphicFramePr>
        </xdr:nvGraphicFramePr>
        <xdr:xfrm>
          <a:off x="2320296" y="1704974"/>
          <a:ext cx="4956804" cy="266699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oneCell">
    <xdr:from>
      <xdr:col>0</xdr:col>
      <xdr:colOff>19050</xdr:colOff>
      <xdr:row>7</xdr:row>
      <xdr:rowOff>95250</xdr:rowOff>
    </xdr:from>
    <xdr:to>
      <xdr:col>0</xdr:col>
      <xdr:colOff>1847850</xdr:colOff>
      <xdr:row>19</xdr:row>
      <xdr:rowOff>36195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4F3761B8-FEC0-42EA-9EFC-FE606FA701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0" y="1924050"/>
              <a:ext cx="1828800" cy="22936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133350</xdr:colOff>
      <xdr:row>4</xdr:row>
      <xdr:rowOff>23812</xdr:rowOff>
    </xdr:from>
    <xdr:to>
      <xdr:col>9</xdr:col>
      <xdr:colOff>323850</xdr:colOff>
      <xdr:row>15</xdr:row>
      <xdr:rowOff>166687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E73A7003-DC84-E582-6E68-8A6FB4BBE462}"/>
            </a:ext>
          </a:extLst>
        </xdr:cNvPr>
        <xdr:cNvGrpSpPr/>
      </xdr:nvGrpSpPr>
      <xdr:grpSpPr>
        <a:xfrm>
          <a:off x="2019300" y="1376362"/>
          <a:ext cx="5048250" cy="2247900"/>
          <a:chOff x="2019300" y="1381125"/>
          <a:chExt cx="5048250" cy="2247900"/>
        </a:xfrm>
      </xdr:grpSpPr>
      <xdr:sp macro="" textlink="">
        <xdr:nvSpPr>
          <xdr:cNvPr id="9" name="Retângulo 8">
            <a:extLst>
              <a:ext uri="{FF2B5EF4-FFF2-40B4-BE49-F238E27FC236}">
                <a16:creationId xmlns:a16="http://schemas.microsoft.com/office/drawing/2014/main" id="{12C20CED-0CF4-BB91-0D03-D3EA6A1D0DB5}"/>
              </a:ext>
            </a:extLst>
          </xdr:cNvPr>
          <xdr:cNvSpPr/>
        </xdr:nvSpPr>
        <xdr:spPr>
          <a:xfrm>
            <a:off x="2028825" y="1647825"/>
            <a:ext cx="5038725" cy="198120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pSp>
        <xdr:nvGrpSpPr>
          <xdr:cNvPr id="8" name="Agrupar 7">
            <a:extLst>
              <a:ext uri="{FF2B5EF4-FFF2-40B4-BE49-F238E27FC236}">
                <a16:creationId xmlns:a16="http://schemas.microsoft.com/office/drawing/2014/main" id="{812D373D-FEF1-5BCA-46B0-EC6026BB886C}"/>
              </a:ext>
            </a:extLst>
          </xdr:cNvPr>
          <xdr:cNvGrpSpPr/>
        </xdr:nvGrpSpPr>
        <xdr:grpSpPr>
          <a:xfrm>
            <a:off x="3152776" y="1885950"/>
            <a:ext cx="3619499" cy="1371600"/>
            <a:chOff x="2914650" y="1695450"/>
            <a:chExt cx="5038725" cy="1981200"/>
          </a:xfrm>
          <a:solidFill>
            <a:srgbClr val="FFFFFF"/>
          </a:solidFill>
        </xdr:grpSpPr>
        <xdr:sp macro="" textlink="">
          <xdr:nvSpPr>
            <xdr:cNvPr id="10" name="Retângulo 9">
              <a:extLst>
                <a:ext uri="{FF2B5EF4-FFF2-40B4-BE49-F238E27FC236}">
                  <a16:creationId xmlns:a16="http://schemas.microsoft.com/office/drawing/2014/main" id="{4B4C4527-41D0-4D55-BD2A-9C3B84A8B56D}"/>
                </a:ext>
              </a:extLst>
            </xdr:cNvPr>
            <xdr:cNvSpPr/>
          </xdr:nvSpPr>
          <xdr:spPr>
            <a:xfrm>
              <a:off x="2914650" y="1695450"/>
              <a:ext cx="5038725" cy="1981200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/>
                <a:t> </a:t>
              </a:r>
            </a:p>
          </xdr:txBody>
        </xdr:sp>
        <xdr:sp macro="" textlink="C̳álculos!F23">
          <xdr:nvSpPr>
            <xdr:cNvPr id="6" name="CaixaDeTexto 5">
              <a:extLst>
                <a:ext uri="{FF2B5EF4-FFF2-40B4-BE49-F238E27FC236}">
                  <a16:creationId xmlns:a16="http://schemas.microsoft.com/office/drawing/2014/main" id="{6D5D91CF-00D1-62C0-0B65-E2009839F4AC}"/>
                </a:ext>
              </a:extLst>
            </xdr:cNvPr>
            <xdr:cNvSpPr txBox="1"/>
          </xdr:nvSpPr>
          <xdr:spPr>
            <a:xfrm>
              <a:off x="3038475" y="1961092"/>
              <a:ext cx="4867275" cy="1562100"/>
            </a:xfrm>
            <a:prstGeom prst="rect">
              <a:avLst/>
            </a:prstGeom>
            <a:grp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algn="ctr"/>
              <a:fld id="{4E449D19-E0C1-4A24-9196-381B7DDDBB83}" type="TxLink">
                <a:rPr lang="en-US" sz="4800" b="0" i="0" u="none" strike="noStrike">
                  <a:solidFill>
                    <a:srgbClr val="92D050"/>
                  </a:solidFill>
                  <a:latin typeface="Aptos Narrow"/>
                </a:rPr>
                <a:pPr algn="ctr"/>
                <a:t>R$ 2.940,00</a:t>
              </a:fld>
              <a:endParaRPr lang="pt-BR" sz="4800">
                <a:solidFill>
                  <a:srgbClr val="92D050"/>
                </a:solidFill>
              </a:endParaRPr>
            </a:p>
          </xdr:txBody>
        </xdr:sp>
      </xdr:grpSp>
      <xdr:pic>
        <xdr:nvPicPr>
          <xdr:cNvPr id="11" name="Imagem 10">
            <a:extLst>
              <a:ext uri="{FF2B5EF4-FFF2-40B4-BE49-F238E27FC236}">
                <a16:creationId xmlns:a16="http://schemas.microsoft.com/office/drawing/2014/main" id="{2455E2DE-EA7C-43D7-87FD-4002D72F281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143125" y="2047875"/>
            <a:ext cx="1219200" cy="1165860"/>
          </a:xfrm>
          <a:prstGeom prst="rect">
            <a:avLst/>
          </a:prstGeom>
        </xdr:spPr>
      </xdr:pic>
      <xdr:sp macro="" textlink="">
        <xdr:nvSpPr>
          <xdr:cNvPr id="14" name="Retângulo: Cantos Superiores Arredondados 13">
            <a:extLst>
              <a:ext uri="{FF2B5EF4-FFF2-40B4-BE49-F238E27FC236}">
                <a16:creationId xmlns:a16="http://schemas.microsoft.com/office/drawing/2014/main" id="{B9F23B8E-1BD8-7057-1C84-3B68CA6E03FD}"/>
              </a:ext>
            </a:extLst>
          </xdr:cNvPr>
          <xdr:cNvSpPr/>
        </xdr:nvSpPr>
        <xdr:spPr>
          <a:xfrm>
            <a:off x="2019300" y="1381125"/>
            <a:ext cx="5038725" cy="26670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/>
              <a:t>TOTAL SUBSCRIPTION EA PLAY</a:t>
            </a:r>
            <a:r>
              <a:rPr lang="pt-BR" sz="1100" baseline="0"/>
              <a:t> SEASON PASS</a:t>
            </a:r>
            <a:endParaRPr lang="pt-BR" sz="1100"/>
          </a:p>
        </xdr:txBody>
      </xdr:sp>
    </xdr:grpSp>
    <xdr:clientData/>
  </xdr:twoCellAnchor>
  <xdr:twoCellAnchor>
    <xdr:from>
      <xdr:col>10</xdr:col>
      <xdr:colOff>485775</xdr:colOff>
      <xdr:row>4</xdr:row>
      <xdr:rowOff>38100</xdr:rowOff>
    </xdr:from>
    <xdr:to>
      <xdr:col>19</xdr:col>
      <xdr:colOff>209550</xdr:colOff>
      <xdr:row>15</xdr:row>
      <xdr:rowOff>152400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D9241BCF-2D88-64F4-15BF-517CE0060F35}"/>
            </a:ext>
          </a:extLst>
        </xdr:cNvPr>
        <xdr:cNvGrpSpPr/>
      </xdr:nvGrpSpPr>
      <xdr:grpSpPr>
        <a:xfrm>
          <a:off x="7839075" y="1390650"/>
          <a:ext cx="5048250" cy="2219325"/>
          <a:chOff x="7839075" y="1371600"/>
          <a:chExt cx="5048250" cy="2219325"/>
        </a:xfrm>
      </xdr:grpSpPr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08D0D38B-CEFE-4AFE-A440-8E0F4E32343F}"/>
              </a:ext>
            </a:extLst>
          </xdr:cNvPr>
          <xdr:cNvGrpSpPr/>
        </xdr:nvGrpSpPr>
        <xdr:grpSpPr>
          <a:xfrm>
            <a:off x="7839075" y="1371600"/>
            <a:ext cx="5048250" cy="2219325"/>
            <a:chOff x="2019300" y="1381125"/>
            <a:chExt cx="5048250" cy="2247900"/>
          </a:xfrm>
        </xdr:grpSpPr>
        <xdr:sp macro="" textlink="">
          <xdr:nvSpPr>
            <xdr:cNvPr id="19" name="Retângulo 18">
              <a:extLst>
                <a:ext uri="{FF2B5EF4-FFF2-40B4-BE49-F238E27FC236}">
                  <a16:creationId xmlns:a16="http://schemas.microsoft.com/office/drawing/2014/main" id="{39722DE9-C114-9341-9BDE-C150F942D3CD}"/>
                </a:ext>
              </a:extLst>
            </xdr:cNvPr>
            <xdr:cNvSpPr/>
          </xdr:nvSpPr>
          <xdr:spPr>
            <a:xfrm>
              <a:off x="2028825" y="1647825"/>
              <a:ext cx="5038725" cy="198120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5400"/>
            </a:p>
          </xdr:txBody>
        </xdr:sp>
        <xdr:grpSp>
          <xdr:nvGrpSpPr>
            <xdr:cNvPr id="20" name="Agrupar 19">
              <a:extLst>
                <a:ext uri="{FF2B5EF4-FFF2-40B4-BE49-F238E27FC236}">
                  <a16:creationId xmlns:a16="http://schemas.microsoft.com/office/drawing/2014/main" id="{58F1C2A5-510A-7850-5181-42BD3268E2C4}"/>
                </a:ext>
              </a:extLst>
            </xdr:cNvPr>
            <xdr:cNvGrpSpPr/>
          </xdr:nvGrpSpPr>
          <xdr:grpSpPr>
            <a:xfrm>
              <a:off x="3152776" y="1885950"/>
              <a:ext cx="3619499" cy="1371600"/>
              <a:chOff x="2914650" y="1695450"/>
              <a:chExt cx="5038725" cy="1981200"/>
            </a:xfrm>
            <a:solidFill>
              <a:srgbClr val="FFFFFF"/>
            </a:solidFill>
          </xdr:grpSpPr>
          <xdr:sp macro="" textlink="">
            <xdr:nvSpPr>
              <xdr:cNvPr id="23" name="Retângulo 22">
                <a:extLst>
                  <a:ext uri="{FF2B5EF4-FFF2-40B4-BE49-F238E27FC236}">
                    <a16:creationId xmlns:a16="http://schemas.microsoft.com/office/drawing/2014/main" id="{B4B61D61-6B3E-9EE9-BF80-2F78D62E7762}"/>
                  </a:ext>
                </a:extLst>
              </xdr:cNvPr>
              <xdr:cNvSpPr/>
            </xdr:nvSpPr>
            <xdr:spPr>
              <a:xfrm>
                <a:off x="2914650" y="1695450"/>
                <a:ext cx="5038725" cy="1981200"/>
              </a:xfrm>
              <a:prstGeom prst="rect">
                <a:avLst/>
              </a:prstGeom>
              <a:grp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r>
                  <a:rPr lang="en-US" sz="1100"/>
                  <a:t> </a:t>
                </a:r>
              </a:p>
            </xdr:txBody>
          </xdr:sp>
          <xdr:sp macro="" textlink="C̳álculos!F33">
            <xdr:nvSpPr>
              <xdr:cNvPr id="24" name="CaixaDeTexto 23">
                <a:extLst>
                  <a:ext uri="{FF2B5EF4-FFF2-40B4-BE49-F238E27FC236}">
                    <a16:creationId xmlns:a16="http://schemas.microsoft.com/office/drawing/2014/main" id="{1F08B407-3FEC-8089-16F4-0E10950016D6}"/>
                  </a:ext>
                </a:extLst>
              </xdr:cNvPr>
              <xdr:cNvSpPr txBox="1"/>
            </xdr:nvSpPr>
            <xdr:spPr>
              <a:xfrm>
                <a:off x="3038475" y="1961092"/>
                <a:ext cx="4867275" cy="1562100"/>
              </a:xfrm>
              <a:prstGeom prst="rect">
                <a:avLst/>
              </a:prstGeom>
              <a:grp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ctr">
                <a:noAutofit/>
              </a:bodyPr>
              <a:lstStyle/>
              <a:p>
                <a:pPr algn="ctr"/>
                <a:fld id="{3F89B1B3-6D1C-4185-9E0F-E5AE5DEC461E}" type="TxLink">
                  <a:rPr lang="en-US" sz="4800" b="0" i="0" u="none" strike="noStrike">
                    <a:solidFill>
                      <a:srgbClr val="92D050"/>
                    </a:solidFill>
                    <a:latin typeface="Aptos Narrow"/>
                  </a:rPr>
                  <a:pPr algn="ctr"/>
                  <a:t>R$ 3.880,00</a:t>
                </a:fld>
                <a:endParaRPr lang="pt-BR" sz="23900">
                  <a:solidFill>
                    <a:srgbClr val="92D050"/>
                  </a:solidFill>
                </a:endParaRPr>
              </a:p>
            </xdr:txBody>
          </xdr:sp>
        </xdr:grpSp>
        <xdr:sp macro="" textlink="">
          <xdr:nvSpPr>
            <xdr:cNvPr id="22" name="Retângulo: Cantos Superiores Arredondados 21">
              <a:extLst>
                <a:ext uri="{FF2B5EF4-FFF2-40B4-BE49-F238E27FC236}">
                  <a16:creationId xmlns:a16="http://schemas.microsoft.com/office/drawing/2014/main" id="{26A3B688-A9F3-C903-FCE0-86B5DA746D9B}"/>
                </a:ext>
              </a:extLst>
            </xdr:cNvPr>
            <xdr:cNvSpPr/>
          </xdr:nvSpPr>
          <xdr:spPr>
            <a:xfrm>
              <a:off x="2019300" y="1381125"/>
              <a:ext cx="5038725" cy="266700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/>
                <a:t>TOTAL SUBSCRIPTION MINECRAFT</a:t>
              </a:r>
              <a:r>
                <a:rPr lang="pt-BR" sz="1100" baseline="0"/>
                <a:t> </a:t>
              </a:r>
              <a:r>
                <a:rPr lang="pt-BR" sz="1100"/>
                <a:t>PLAY</a:t>
              </a:r>
              <a:r>
                <a:rPr lang="pt-BR" sz="1100" baseline="0"/>
                <a:t> SEASON PASS</a:t>
              </a:r>
              <a:endParaRPr lang="pt-BR" sz="1100"/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F8FB67C-F83E-4FF5-BA33-CF9BB1013795}"/>
              </a:ext>
            </a:extLst>
          </xdr:cNvPr>
          <xdr:cNvGrpSpPr/>
        </xdr:nvGrpSpPr>
        <xdr:grpSpPr>
          <a:xfrm>
            <a:off x="8020050" y="2143125"/>
            <a:ext cx="1143000" cy="723900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8D131A7E-710A-024A-A080-277973DEF5F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7DCDAF7D-6315-D3E2-FE0C-12360D466D1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142876</xdr:colOff>
      <xdr:row>19</xdr:row>
      <xdr:rowOff>104775</xdr:rowOff>
    </xdr:from>
    <xdr:to>
      <xdr:col>19</xdr:col>
      <xdr:colOff>171451</xdr:colOff>
      <xdr:row>22</xdr:row>
      <xdr:rowOff>47624</xdr:rowOff>
    </xdr:to>
    <xdr:sp macro="" textlink="">
      <xdr:nvSpPr>
        <xdr:cNvPr id="29" name="Retângulo: Cantos Superiores Arredondados 28">
          <a:extLst>
            <a:ext uri="{FF2B5EF4-FFF2-40B4-BE49-F238E27FC236}">
              <a16:creationId xmlns:a16="http://schemas.microsoft.com/office/drawing/2014/main" id="{C1B11D8D-C12E-49CC-AE95-3014C35C6868}"/>
            </a:ext>
          </a:extLst>
        </xdr:cNvPr>
        <xdr:cNvSpPr/>
      </xdr:nvSpPr>
      <xdr:spPr>
        <a:xfrm>
          <a:off x="2028826" y="4286250"/>
          <a:ext cx="10820400" cy="485774"/>
        </a:xfrm>
        <a:prstGeom prst="round2SameRect">
          <a:avLst>
            <a:gd name="adj1" fmla="val 16667"/>
            <a:gd name="adj2" fmla="val 0"/>
          </a:avLst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TOTAL SUBSCRIPTION XBOX</a:t>
          </a:r>
          <a:r>
            <a:rPr lang="pt-BR" sz="1100" baseline="0"/>
            <a:t> GAME PASS</a:t>
          </a:r>
          <a:endParaRPr lang="pt-BR" sz="1100"/>
        </a:p>
      </xdr:txBody>
    </xdr:sp>
    <xdr:clientData/>
  </xdr:twoCellAnchor>
  <xdr:twoCellAnchor editAs="absolute">
    <xdr:from>
      <xdr:col>0</xdr:col>
      <xdr:colOff>180975</xdr:colOff>
      <xdr:row>1</xdr:row>
      <xdr:rowOff>38100</xdr:rowOff>
    </xdr:from>
    <xdr:to>
      <xdr:col>0</xdr:col>
      <xdr:colOff>876300</xdr:colOff>
      <xdr:row>3</xdr:row>
      <xdr:rowOff>24765</xdr:rowOff>
    </xdr:to>
    <xdr:sp macro="" textlink="">
      <xdr:nvSpPr>
        <xdr:cNvPr id="12" name="Elipse 11">
          <a:extLst>
            <a:ext uri="{FF2B5EF4-FFF2-40B4-BE49-F238E27FC236}">
              <a16:creationId xmlns:a16="http://schemas.microsoft.com/office/drawing/2014/main" id="{1EED8C36-A10B-47B1-B8DA-94F61D1CB763}"/>
            </a:ext>
          </a:extLst>
        </xdr:cNvPr>
        <xdr:cNvSpPr/>
      </xdr:nvSpPr>
      <xdr:spPr>
        <a:xfrm>
          <a:off x="180975" y="219075"/>
          <a:ext cx="695325" cy="66294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142875</xdr:colOff>
      <xdr:row>3</xdr:row>
      <xdr:rowOff>180975</xdr:rowOff>
    </xdr:from>
    <xdr:to>
      <xdr:col>0</xdr:col>
      <xdr:colOff>1866900</xdr:colOff>
      <xdr:row>3</xdr:row>
      <xdr:rowOff>438150</xdr:rowOff>
    </xdr:to>
    <xdr:sp macro="" textlink="">
      <xdr:nvSpPr>
        <xdr:cNvPr id="13" name="Retângulo 12">
          <a:extLst>
            <a:ext uri="{FF2B5EF4-FFF2-40B4-BE49-F238E27FC236}">
              <a16:creationId xmlns:a16="http://schemas.microsoft.com/office/drawing/2014/main" id="{798C343A-FEB0-CB94-86FD-77D3BF748BA2}"/>
            </a:ext>
          </a:extLst>
        </xdr:cNvPr>
        <xdr:cNvSpPr/>
      </xdr:nvSpPr>
      <xdr:spPr>
        <a:xfrm>
          <a:off x="142875" y="1038225"/>
          <a:ext cx="1724025" cy="2571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 b="1"/>
            <a:t>Bem vinda, Liana</a:t>
          </a:r>
        </a:p>
      </xdr:txBody>
    </xdr:sp>
    <xdr:clientData/>
  </xdr:twoCellAnchor>
  <xdr:twoCellAnchor editAs="absolute">
    <xdr:from>
      <xdr:col>1</xdr:col>
      <xdr:colOff>66674</xdr:colOff>
      <xdr:row>3</xdr:row>
      <xdr:rowOff>247650</xdr:rowOff>
    </xdr:from>
    <xdr:to>
      <xdr:col>14</xdr:col>
      <xdr:colOff>190500</xdr:colOff>
      <xdr:row>4</xdr:row>
      <xdr:rowOff>114300</xdr:rowOff>
    </xdr:to>
    <xdr:sp macro="" textlink="">
      <xdr:nvSpPr>
        <xdr:cNvPr id="16" name="Retângulo 15">
          <a:extLst>
            <a:ext uri="{FF2B5EF4-FFF2-40B4-BE49-F238E27FC236}">
              <a16:creationId xmlns:a16="http://schemas.microsoft.com/office/drawing/2014/main" id="{E4462B02-688A-4303-BCD6-3D02B111BC98}"/>
            </a:ext>
          </a:extLst>
        </xdr:cNvPr>
        <xdr:cNvSpPr/>
      </xdr:nvSpPr>
      <xdr:spPr>
        <a:xfrm>
          <a:off x="1952624" y="1104900"/>
          <a:ext cx="7867651" cy="361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bg2">
                  <a:lumMod val="25000"/>
                </a:schemeClr>
              </a:solidFill>
            </a:rPr>
            <a:t>Período</a:t>
          </a:r>
          <a:r>
            <a:rPr lang="pt-BR" sz="1100" b="1" baseline="0">
              <a:solidFill>
                <a:schemeClr val="bg2">
                  <a:lumMod val="25000"/>
                </a:schemeClr>
              </a:solidFill>
            </a:rPr>
            <a:t> de apuração: 01/01/2024 - 31/12/2024 (update date: 25/12/2025 00:00:00)</a:t>
          </a:r>
          <a:endParaRPr lang="pt-BR" sz="1100">
            <a:effectLst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rgana Oliveira" refreshedDate="45978.694114930557" createdVersion="8" refreshedVersion="8" minRefreshableVersion="3" recordCount="295" xr:uid="{E4BCF38F-4B1E-4921-8757-9A048D23BFC8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09808029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6C7A9C-380E-4376-A976-03F2340A7C2A}" name="Tabela dinâ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C19:D2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3A5F8B-7DC9-4C36-ACF2-B035BC66DBAA}" name="tbl_easeasonpass_total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6">
  <location ref="C10:D1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4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66656C-793B-4F5B-9340-090367B5F616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C29:D3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0208DE35-E29E-40B2-AC16-B2F035C8D59E}" sourceName="Subscription Type">
  <pivotTables>
    <pivotTable tabId="3" name="tbl_easeasonpass_total"/>
    <pivotTable tabId="3" name="Tabela dinâmica2"/>
    <pivotTable tabId="3" name="Tabela dinâmica1"/>
  </pivotTables>
  <data>
    <tabular pivotCacheId="1098080295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7BE39726-FA1F-4C8E-8AEA-5D5B9A5997C5}" cache="SegmentaçãodeDados_Subscription_Type" caption="Subscription Type" style="SlicerStyleLight6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7" zoomScaleNormal="100" workbookViewId="0">
      <selection activeCell="D36" sqref="D36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1</v>
      </c>
      <c r="C5" t="s">
        <v>2</v>
      </c>
      <c r="E5" s="7" t="s">
        <v>3</v>
      </c>
      <c r="F5" t="s">
        <v>4</v>
      </c>
    </row>
    <row r="6" spans="2:16" x14ac:dyDescent="0.3">
      <c r="B6" s="4" t="s">
        <v>5</v>
      </c>
      <c r="C6" t="s">
        <v>2</v>
      </c>
    </row>
    <row r="7" spans="2:16" x14ac:dyDescent="0.3">
      <c r="B7" s="5" t="s">
        <v>6</v>
      </c>
      <c r="C7" t="s">
        <v>7</v>
      </c>
    </row>
    <row r="8" spans="2:16" x14ac:dyDescent="0.3">
      <c r="B8" s="6" t="s">
        <v>8</v>
      </c>
      <c r="C8" t="s">
        <v>7</v>
      </c>
    </row>
    <row r="12" spans="2:16" ht="20.399999999999999" thickBot="1" x14ac:dyDescent="0.45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D36" sqref="D36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 x14ac:dyDescent="0.3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5:F33"/>
  <sheetViews>
    <sheetView showGridLines="0" topLeftCell="A10" workbookViewId="0">
      <selection activeCell="D36" sqref="D36"/>
    </sheetView>
  </sheetViews>
  <sheetFormatPr defaultRowHeight="14.4" x14ac:dyDescent="0.3"/>
  <cols>
    <col min="3" max="3" width="16.77734375" bestFit="1" customWidth="1"/>
    <col min="4" max="4" width="32.21875" bestFit="1" customWidth="1"/>
    <col min="5" max="5" width="6.33203125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5" spans="1:4" x14ac:dyDescent="0.3">
      <c r="C5" t="s">
        <v>317</v>
      </c>
    </row>
    <row r="6" spans="1:4" x14ac:dyDescent="0.3">
      <c r="C6" t="s">
        <v>316</v>
      </c>
    </row>
    <row r="8" spans="1:4" x14ac:dyDescent="0.3">
      <c r="C8" s="12" t="s">
        <v>17</v>
      </c>
      <c r="D8" t="s">
        <v>321</v>
      </c>
    </row>
    <row r="10" spans="1:4" x14ac:dyDescent="0.3">
      <c r="C10" s="12" t="s">
        <v>313</v>
      </c>
      <c r="D10" t="s">
        <v>315</v>
      </c>
    </row>
    <row r="11" spans="1:4" x14ac:dyDescent="0.3">
      <c r="C11" s="13" t="s">
        <v>30</v>
      </c>
      <c r="D11" s="14">
        <v>3847</v>
      </c>
    </row>
    <row r="12" spans="1:4" x14ac:dyDescent="0.3">
      <c r="C12" s="13" t="s">
        <v>26</v>
      </c>
      <c r="D12" s="14">
        <v>3786</v>
      </c>
    </row>
    <row r="13" spans="1:4" x14ac:dyDescent="0.3">
      <c r="C13" s="13" t="s">
        <v>314</v>
      </c>
      <c r="D13" s="14">
        <v>7633</v>
      </c>
    </row>
    <row r="15" spans="1:4" x14ac:dyDescent="0.3">
      <c r="A15" t="s">
        <v>318</v>
      </c>
    </row>
    <row r="17" spans="1:6" x14ac:dyDescent="0.3">
      <c r="C17" s="12" t="s">
        <v>17</v>
      </c>
      <c r="D17" t="s">
        <v>321</v>
      </c>
    </row>
    <row r="19" spans="1:6" x14ac:dyDescent="0.3">
      <c r="C19" s="12" t="s">
        <v>313</v>
      </c>
      <c r="D19" t="s">
        <v>319</v>
      </c>
    </row>
    <row r="20" spans="1:6" x14ac:dyDescent="0.3">
      <c r="C20" s="13" t="s">
        <v>29</v>
      </c>
      <c r="D20">
        <v>0</v>
      </c>
    </row>
    <row r="21" spans="1:6" x14ac:dyDescent="0.3">
      <c r="C21" s="13" t="s">
        <v>34</v>
      </c>
      <c r="D21">
        <v>0</v>
      </c>
    </row>
    <row r="22" spans="1:6" x14ac:dyDescent="0.3">
      <c r="C22" s="13" t="s">
        <v>25</v>
      </c>
      <c r="D22">
        <v>2940</v>
      </c>
    </row>
    <row r="23" spans="1:6" x14ac:dyDescent="0.3">
      <c r="C23" s="13" t="s">
        <v>314</v>
      </c>
      <c r="D23">
        <v>2940</v>
      </c>
      <c r="F23" s="15">
        <f>GETPIVOTDATA("EA Play Season Pass
Price",$C$19)</f>
        <v>2940</v>
      </c>
    </row>
    <row r="24" spans="1:6" x14ac:dyDescent="0.3">
      <c r="A24" t="s">
        <v>320</v>
      </c>
    </row>
    <row r="27" spans="1:6" x14ac:dyDescent="0.3">
      <c r="C27" s="12" t="s">
        <v>17</v>
      </c>
      <c r="D27" t="s">
        <v>321</v>
      </c>
    </row>
    <row r="29" spans="1:6" x14ac:dyDescent="0.3">
      <c r="C29" s="12" t="s">
        <v>313</v>
      </c>
      <c r="D29" t="s">
        <v>322</v>
      </c>
    </row>
    <row r="30" spans="1:6" x14ac:dyDescent="0.3">
      <c r="C30" s="13" t="s">
        <v>29</v>
      </c>
      <c r="D30" s="14">
        <v>0</v>
      </c>
    </row>
    <row r="31" spans="1:6" x14ac:dyDescent="0.3">
      <c r="C31" s="13" t="s">
        <v>34</v>
      </c>
      <c r="D31" s="14">
        <v>1920</v>
      </c>
    </row>
    <row r="32" spans="1:6" x14ac:dyDescent="0.3">
      <c r="C32" s="13" t="s">
        <v>25</v>
      </c>
      <c r="D32" s="14">
        <v>1960</v>
      </c>
    </row>
    <row r="33" spans="3:6" x14ac:dyDescent="0.3">
      <c r="C33" s="13" t="s">
        <v>314</v>
      </c>
      <c r="D33" s="14">
        <v>3880</v>
      </c>
      <c r="F33" s="15">
        <f>GETPIVOTDATA("Minecraft Season Pass Price",$C$29)</f>
        <v>3880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3:AB141"/>
  <sheetViews>
    <sheetView showGridLines="0" tabSelected="1" zoomScale="80" zoomScaleNormal="80" workbookViewId="0">
      <selection activeCell="K18" sqref="K18"/>
    </sheetView>
  </sheetViews>
  <sheetFormatPr defaultRowHeight="14.4" x14ac:dyDescent="0.3"/>
  <cols>
    <col min="1" max="1" width="27.5546875" style="4" customWidth="1"/>
    <col min="2" max="2" width="8.6640625" customWidth="1"/>
    <col min="12" max="12" width="6.5546875" customWidth="1"/>
  </cols>
  <sheetData>
    <row r="3" spans="1:28" ht="39" customHeight="1" thickBot="1" x14ac:dyDescent="0.45">
      <c r="B3" s="19" t="s">
        <v>323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7"/>
      <c r="S3" s="17"/>
    </row>
    <row r="4" spans="1:28" ht="39" customHeight="1" thickTop="1" x14ac:dyDescent="0.35">
      <c r="A4" s="18"/>
    </row>
    <row r="5" spans="1:28" ht="19.8" customHeight="1" x14ac:dyDescent="0.3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spans="1:28" ht="7.5" customHeight="1" x14ac:dyDescent="0.3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spans="1:28" ht="10.5" customHeight="1" x14ac:dyDescent="0.3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28" ht="9.75" customHeight="1" x14ac:dyDescent="0.3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spans="1:28" ht="33" customHeight="1" x14ac:dyDescent="0.3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spans="1:28" x14ac:dyDescent="0.3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spans="1:28" x14ac:dyDescent="0.3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spans="1:28" x14ac:dyDescent="0.3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spans="1:28" x14ac:dyDescent="0.3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spans="1:28" x14ac:dyDescent="0.3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spans="1:28" x14ac:dyDescent="0.3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28" x14ac:dyDescent="0.3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2:28" x14ac:dyDescent="0.3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2:28" x14ac:dyDescent="0.3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2:28" x14ac:dyDescent="0.3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2:28" x14ac:dyDescent="0.3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2:28" x14ac:dyDescent="0.3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2:28" x14ac:dyDescent="0.3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2:28" x14ac:dyDescent="0.3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2:28" x14ac:dyDescent="0.3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2:28" x14ac:dyDescent="0.3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2:28" x14ac:dyDescent="0.3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2:28" x14ac:dyDescent="0.3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2:28" x14ac:dyDescent="0.3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2:28" x14ac:dyDescent="0.3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2:28" x14ac:dyDescent="0.3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2:28" x14ac:dyDescent="0.3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2:28" x14ac:dyDescent="0.3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2:28" x14ac:dyDescent="0.3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2:28" x14ac:dyDescent="0.3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2:28" x14ac:dyDescent="0.3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2:28" x14ac:dyDescent="0.3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spans="2:28" x14ac:dyDescent="0.3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spans="2:28" x14ac:dyDescent="0.3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spans="2:28" x14ac:dyDescent="0.3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spans="2:28" x14ac:dyDescent="0.3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spans="2:28" x14ac:dyDescent="0.3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spans="2:28" x14ac:dyDescent="0.3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spans="2:28" x14ac:dyDescent="0.3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spans="2:28" x14ac:dyDescent="0.3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spans="2:28" x14ac:dyDescent="0.3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spans="2:28" x14ac:dyDescent="0.3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spans="2:28" x14ac:dyDescent="0.3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spans="2:28" x14ac:dyDescent="0.3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spans="2:28" x14ac:dyDescent="0.3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spans="2:28" x14ac:dyDescent="0.3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spans="2:28" x14ac:dyDescent="0.3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spans="2:28" x14ac:dyDescent="0.3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spans="2:28" x14ac:dyDescent="0.3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spans="2:28" x14ac:dyDescent="0.3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spans="2:28" x14ac:dyDescent="0.3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spans="2:28" x14ac:dyDescent="0.3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spans="2:28" x14ac:dyDescent="0.3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spans="2:28" x14ac:dyDescent="0.3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spans="2:28" x14ac:dyDescent="0.3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2:28" x14ac:dyDescent="0.3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spans="2:28" x14ac:dyDescent="0.3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spans="2:28" x14ac:dyDescent="0.3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spans="2:28" x14ac:dyDescent="0.3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spans="2:28" x14ac:dyDescent="0.3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spans="2:28" x14ac:dyDescent="0.3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spans="2:28" x14ac:dyDescent="0.3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spans="2:28" x14ac:dyDescent="0.3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spans="2:28" x14ac:dyDescent="0.3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spans="2:28" x14ac:dyDescent="0.3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spans="2:28" x14ac:dyDescent="0.3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spans="2:28" x14ac:dyDescent="0.3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spans="2:28" x14ac:dyDescent="0.3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spans="2:28" x14ac:dyDescent="0.3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2:28" x14ac:dyDescent="0.3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2:28" x14ac:dyDescent="0.3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2:28" x14ac:dyDescent="0.3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2:28" x14ac:dyDescent="0.3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2:28" x14ac:dyDescent="0.3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2:28" x14ac:dyDescent="0.3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2:28" x14ac:dyDescent="0.3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2:28" x14ac:dyDescent="0.3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spans="2:28" x14ac:dyDescent="0.3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spans="2:28" x14ac:dyDescent="0.3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spans="2:28" x14ac:dyDescent="0.3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spans="2:28" x14ac:dyDescent="0.3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spans="2:28" x14ac:dyDescent="0.3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spans="2:28" x14ac:dyDescent="0.3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spans="2:28" x14ac:dyDescent="0.3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spans="2:28" x14ac:dyDescent="0.3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spans="2:28" x14ac:dyDescent="0.3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spans="2:28" x14ac:dyDescent="0.3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spans="2:28" x14ac:dyDescent="0.3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spans="2:28" x14ac:dyDescent="0.3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spans="2:28" x14ac:dyDescent="0.3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spans="2:28" x14ac:dyDescent="0.3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spans="2:28" x14ac:dyDescent="0.3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spans="2:28" x14ac:dyDescent="0.3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spans="2:28" x14ac:dyDescent="0.3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spans="2:28" x14ac:dyDescent="0.3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spans="2:28" x14ac:dyDescent="0.3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spans="2:28" x14ac:dyDescent="0.3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spans="2:28" x14ac:dyDescent="0.3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spans="2:28" x14ac:dyDescent="0.3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spans="2:28" x14ac:dyDescent="0.3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spans="2:28" x14ac:dyDescent="0.3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spans="2:28" x14ac:dyDescent="0.3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spans="2:28" x14ac:dyDescent="0.3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spans="2:28" x14ac:dyDescent="0.3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spans="2:28" x14ac:dyDescent="0.3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spans="2:28" x14ac:dyDescent="0.3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spans="2:28" x14ac:dyDescent="0.3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spans="2:28" x14ac:dyDescent="0.3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spans="2:28" x14ac:dyDescent="0.3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spans="2:28" x14ac:dyDescent="0.3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spans="2:28" x14ac:dyDescent="0.3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spans="2:28" x14ac:dyDescent="0.3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spans="2:28" x14ac:dyDescent="0.3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spans="2:28" x14ac:dyDescent="0.3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spans="2:28" x14ac:dyDescent="0.3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spans="2:28" x14ac:dyDescent="0.3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spans="2:28" x14ac:dyDescent="0.3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spans="2:28" x14ac:dyDescent="0.3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spans="2:28" x14ac:dyDescent="0.3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spans="2:28" x14ac:dyDescent="0.3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2:28" x14ac:dyDescent="0.3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2:28" x14ac:dyDescent="0.3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2:28" x14ac:dyDescent="0.3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2:28" x14ac:dyDescent="0.3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2:28" x14ac:dyDescent="0.3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2:28" x14ac:dyDescent="0.3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2:28" x14ac:dyDescent="0.3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2:28" x14ac:dyDescent="0.3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2:28" x14ac:dyDescent="0.3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2:28" x14ac:dyDescent="0.3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2:28" x14ac:dyDescent="0.3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2:28" x14ac:dyDescent="0.3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2:28" x14ac:dyDescent="0.3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2:28" x14ac:dyDescent="0.3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2:28" x14ac:dyDescent="0.3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2:28" x14ac:dyDescent="0.3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2:28" x14ac:dyDescent="0.3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Morgana Oliveira</cp:lastModifiedBy>
  <cp:revision/>
  <dcterms:created xsi:type="dcterms:W3CDTF">2024-12-19T13:13:10Z</dcterms:created>
  <dcterms:modified xsi:type="dcterms:W3CDTF">2025-11-18T14:45:54Z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